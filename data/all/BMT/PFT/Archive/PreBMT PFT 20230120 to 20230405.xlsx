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ami/Desktop/"/>
    </mc:Choice>
  </mc:AlternateContent>
  <xr:revisionPtr revIDLastSave="0" documentId="8_{7CD138FA-04F2-FD4F-A424-66107AF83B39}" xr6:coauthVersionLast="47" xr6:coauthVersionMax="47" xr10:uidLastSave="{00000000-0000-0000-0000-000000000000}"/>
  <bookViews>
    <workbookView xWindow="0" yWindow="0" windowWidth="25600" windowHeight="16000" xr2:uid="{1BC45EBB-A53B-D04B-ADC2-AE1F930861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7" i="1"/>
  <c r="B18" i="1"/>
  <c r="B19" i="1"/>
  <c r="B15" i="1"/>
</calcChain>
</file>

<file path=xl/sharedStrings.xml><?xml version="1.0" encoding="utf-8"?>
<sst xmlns="http://schemas.openxmlformats.org/spreadsheetml/2006/main" count="102" uniqueCount="86">
  <si>
    <t>FOT-ID</t>
  </si>
  <si>
    <t>AGE</t>
  </si>
  <si>
    <t>PATIENT SEX</t>
  </si>
  <si>
    <t>PATIENT DOB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</si>
  <si>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</si>
  <si>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</si>
  <si>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</si>
  <si>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</si>
  <si>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</si>
  <si>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</si>
  <si>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</si>
  <si>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</si>
  <si>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</si>
  <si>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</si>
  <si>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</si>
  <si>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</si>
  <si>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</si>
  <si>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</si>
  <si>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</si>
  <si>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</si>
  <si>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</si>
  <si>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</si>
  <si>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</si>
  <si>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</si>
  <si>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</si>
  <si>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</si>
  <si>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</si>
  <si>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</si>
  <si>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</si>
  <si>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</si>
  <si>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</si>
  <si>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</si>
  <si>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</si>
  <si>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</si>
  <si>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</si>
  <si>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</si>
  <si>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</si>
  <si>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</si>
  <si>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</si>
  <si>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</si>
  <si>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</si>
  <si>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</si>
  <si>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</si>
  <si>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</si>
  <si>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</si>
  <si>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</si>
  <si>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</si>
  <si>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</si>
  <si>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</si>
  <si>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</si>
  <si>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</si>
  <si>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</si>
  <si>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</si>
  <si>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</si>
  <si>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</si>
  <si>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</si>
  <si>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</si>
  <si>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</si>
  <si>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</si>
  <si>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</si>
  <si>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</si>
  <si>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</si>
  <si>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</si>
  <si>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</si>
  <si>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</si>
  <si>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</si>
  <si>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PreBMT-284</t>
  </si>
  <si>
    <t>M</t>
  </si>
  <si>
    <t>PreBMT-258</t>
  </si>
  <si>
    <t>PreBMT-227</t>
  </si>
  <si>
    <t>F</t>
  </si>
  <si>
    <t>PreBMT-246</t>
  </si>
  <si>
    <t>PreBMT-296</t>
  </si>
  <si>
    <t>PreBMT-133</t>
  </si>
  <si>
    <t>PreBMT-278</t>
  </si>
  <si>
    <t>PreBMT-276</t>
  </si>
  <si>
    <t>PreBMT-225</t>
  </si>
  <si>
    <t>PreBMT-292</t>
  </si>
  <si>
    <t>PreBMT-196</t>
  </si>
  <si>
    <t>PreBMT-291</t>
  </si>
  <si>
    <t>PreBMT-310</t>
  </si>
  <si>
    <t>PreBMT-289</t>
  </si>
  <si>
    <t>PreBMT-147</t>
  </si>
  <si>
    <t>PreBMT-312</t>
  </si>
  <si>
    <t>PreBMT-148</t>
  </si>
  <si>
    <t>PreBMT-267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</si>
</sst>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FLT-&quot;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AF18-9166-2943-8B0C-F6A77B9A5C6C}">
  <dimension ref="A1:BN19"/>
  <sheetViews>
    <sheetView tabSelected="1" workbookViewId="0">
      <selection activeCell="D22" sqref="D22"/>
    </sheetView>
  </sheetViews>
  <sheetFormatPr defaultColWidth="11" defaultRowHeight="15.95"/>
  <sheetData>
    <row r="1" spans="1:6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s="2" t="s">
        <v>66</v>
      </c>
      <c r="B2">
        <v>56.098630136986301</v>
      </c>
      <c r="C2" t="s">
        <v>67</v>
      </c>
      <c r="D2" s="3">
        <v>30544</v>
      </c>
      <c r="E2">
        <v>183</v>
      </c>
      <c r="F2">
        <v>71.3</v>
      </c>
      <c r="G2" s="3">
        <v>44949</v>
      </c>
      <c r="H2">
        <v>5.81</v>
      </c>
      <c r="I2">
        <v>4.63</v>
      </c>
      <c r="J2">
        <v>79.7</v>
      </c>
      <c r="N2">
        <v>4.5999999999999996</v>
      </c>
      <c r="O2">
        <v>4.04</v>
      </c>
      <c r="P2">
        <v>87.9</v>
      </c>
      <c r="T2">
        <v>80.5</v>
      </c>
      <c r="U2">
        <v>87.3</v>
      </c>
      <c r="V2">
        <v>108.4</v>
      </c>
      <c r="Z2">
        <v>4.99</v>
      </c>
      <c r="AA2">
        <v>6.21</v>
      </c>
      <c r="AB2">
        <v>124.5</v>
      </c>
      <c r="AF2">
        <v>1.86</v>
      </c>
      <c r="AG2">
        <v>2.0099999999999998</v>
      </c>
      <c r="AH2">
        <v>108.1</v>
      </c>
      <c r="AL2">
        <v>4.22</v>
      </c>
      <c r="AM2">
        <v>5.26</v>
      </c>
      <c r="AN2">
        <v>124.8</v>
      </c>
      <c r="AO2">
        <v>4.6399999999999997</v>
      </c>
      <c r="AP2">
        <v>79.900000000000006</v>
      </c>
      <c r="AQ2">
        <v>3.78</v>
      </c>
      <c r="AR2">
        <v>2.57</v>
      </c>
      <c r="AS2">
        <v>67.900000000000006</v>
      </c>
      <c r="AT2">
        <v>7.85</v>
      </c>
      <c r="AU2">
        <v>6.25</v>
      </c>
      <c r="AV2">
        <v>79.599999999999994</v>
      </c>
      <c r="AW2">
        <v>2.04</v>
      </c>
      <c r="AX2">
        <v>1.58</v>
      </c>
      <c r="AY2">
        <v>77.5</v>
      </c>
      <c r="AZ2">
        <v>29.2</v>
      </c>
      <c r="BA2">
        <v>25.2</v>
      </c>
      <c r="BB2">
        <v>86.4</v>
      </c>
      <c r="BC2">
        <v>1.24</v>
      </c>
      <c r="BD2">
        <v>0.69</v>
      </c>
      <c r="BE2">
        <v>55.4</v>
      </c>
      <c r="BF2">
        <v>31.1</v>
      </c>
      <c r="BG2">
        <v>16.899999999999999</v>
      </c>
      <c r="BH2">
        <v>54.3</v>
      </c>
      <c r="BI2">
        <v>16.899999999999999</v>
      </c>
      <c r="BJ2">
        <v>54.3</v>
      </c>
      <c r="BK2">
        <v>0</v>
      </c>
      <c r="BL2">
        <v>7.69</v>
      </c>
      <c r="BM2">
        <v>5.72</v>
      </c>
      <c r="BN2">
        <v>74.5</v>
      </c>
    </row>
    <row r="3" spans="1:66">
      <c r="A3" s="2" t="s">
        <v>68</v>
      </c>
      <c r="B3">
        <v>52.871232876712327</v>
      </c>
      <c r="C3" t="s">
        <v>67</v>
      </c>
      <c r="D3" s="3">
        <v>36346</v>
      </c>
      <c r="E3">
        <v>156</v>
      </c>
      <c r="F3">
        <v>41.8</v>
      </c>
      <c r="G3" s="3">
        <v>44949</v>
      </c>
      <c r="H3">
        <v>4.4000000000000004</v>
      </c>
      <c r="I3">
        <v>3.22</v>
      </c>
      <c r="J3">
        <v>73.2</v>
      </c>
      <c r="K3">
        <v>3.27</v>
      </c>
      <c r="L3">
        <v>74.2</v>
      </c>
      <c r="M3">
        <v>1.4</v>
      </c>
      <c r="N3">
        <v>3.81</v>
      </c>
      <c r="O3">
        <v>2.74</v>
      </c>
      <c r="P3">
        <v>71.900000000000006</v>
      </c>
      <c r="Q3">
        <v>2.87</v>
      </c>
      <c r="R3">
        <v>75.400000000000006</v>
      </c>
      <c r="S3">
        <v>4.9000000000000004</v>
      </c>
      <c r="T3">
        <v>86.9</v>
      </c>
      <c r="U3">
        <v>85</v>
      </c>
      <c r="V3">
        <v>97.7</v>
      </c>
      <c r="W3">
        <v>87.9</v>
      </c>
      <c r="X3">
        <v>101.1</v>
      </c>
      <c r="Y3">
        <v>3.4</v>
      </c>
      <c r="Z3">
        <v>5.95</v>
      </c>
      <c r="AA3">
        <v>4.2300000000000004</v>
      </c>
      <c r="AB3">
        <v>71.099999999999994</v>
      </c>
      <c r="AC3">
        <v>4.6399999999999997</v>
      </c>
      <c r="AD3">
        <v>78.099999999999994</v>
      </c>
      <c r="AE3">
        <v>9.8000000000000007</v>
      </c>
      <c r="AF3">
        <v>2.5499999999999998</v>
      </c>
      <c r="AG3">
        <v>1.58</v>
      </c>
      <c r="AH3">
        <v>61.7</v>
      </c>
      <c r="AI3">
        <v>2.76</v>
      </c>
      <c r="AJ3">
        <v>108</v>
      </c>
      <c r="AK3">
        <v>75.3</v>
      </c>
      <c r="AL3">
        <v>4.07</v>
      </c>
      <c r="AM3">
        <v>3.75</v>
      </c>
      <c r="AN3">
        <v>92.1</v>
      </c>
      <c r="AO3">
        <v>3.27</v>
      </c>
      <c r="AP3">
        <v>74.2</v>
      </c>
      <c r="AQ3">
        <v>2.4</v>
      </c>
      <c r="AR3">
        <v>1.79</v>
      </c>
      <c r="AS3">
        <v>74.400000000000006</v>
      </c>
      <c r="AT3">
        <v>5.42</v>
      </c>
      <c r="AU3">
        <v>5.0199999999999996</v>
      </c>
      <c r="AV3">
        <v>92.5</v>
      </c>
      <c r="AW3">
        <v>1.1599999999999999</v>
      </c>
      <c r="AX3">
        <v>1.73</v>
      </c>
      <c r="AY3">
        <v>149.19999999999999</v>
      </c>
      <c r="AZ3">
        <v>23</v>
      </c>
      <c r="BA3">
        <v>34.5</v>
      </c>
      <c r="BB3">
        <v>150.19999999999999</v>
      </c>
      <c r="BC3">
        <v>1.25</v>
      </c>
      <c r="BD3">
        <v>1.19</v>
      </c>
      <c r="BE3">
        <v>95.1</v>
      </c>
      <c r="BF3">
        <v>30.8</v>
      </c>
      <c r="BG3">
        <v>20.9</v>
      </c>
      <c r="BH3">
        <v>67.8</v>
      </c>
      <c r="BI3">
        <v>20.9</v>
      </c>
      <c r="BJ3">
        <v>67.8</v>
      </c>
      <c r="BK3">
        <v>0</v>
      </c>
      <c r="BL3">
        <v>5.29</v>
      </c>
      <c r="BM3">
        <v>4.42</v>
      </c>
      <c r="BN3">
        <v>83.4</v>
      </c>
    </row>
    <row r="4" spans="1:66">
      <c r="A4" s="2" t="s">
        <v>69</v>
      </c>
      <c r="B4">
        <v>57.490410958904107</v>
      </c>
      <c r="C4" t="s">
        <v>70</v>
      </c>
      <c r="D4" s="3">
        <v>22702</v>
      </c>
      <c r="E4">
        <v>165</v>
      </c>
      <c r="F4">
        <v>64.2</v>
      </c>
      <c r="G4" s="3">
        <v>44952</v>
      </c>
      <c r="H4">
        <v>3.31</v>
      </c>
      <c r="I4">
        <v>3.26</v>
      </c>
      <c r="J4">
        <v>98.5</v>
      </c>
      <c r="N4">
        <v>2.7</v>
      </c>
      <c r="O4">
        <v>2.41</v>
      </c>
      <c r="P4">
        <v>89.3</v>
      </c>
      <c r="T4">
        <v>78.900000000000006</v>
      </c>
      <c r="U4">
        <v>74.099999999999994</v>
      </c>
      <c r="V4">
        <v>93.9</v>
      </c>
      <c r="Z4">
        <v>3.25</v>
      </c>
      <c r="AA4">
        <v>2.56</v>
      </c>
      <c r="AB4">
        <v>78.8</v>
      </c>
      <c r="AF4">
        <v>0.97</v>
      </c>
      <c r="AG4">
        <v>0.45</v>
      </c>
      <c r="AH4">
        <v>46.1</v>
      </c>
      <c r="AL4">
        <v>2.41</v>
      </c>
      <c r="AM4">
        <v>1.77</v>
      </c>
      <c r="AN4">
        <v>73.7</v>
      </c>
      <c r="AO4">
        <v>3.22</v>
      </c>
      <c r="AP4">
        <v>97.1</v>
      </c>
      <c r="AQ4">
        <v>2.4700000000000002</v>
      </c>
      <c r="AR4">
        <v>2.2400000000000002</v>
      </c>
      <c r="AS4">
        <v>90.7</v>
      </c>
      <c r="AT4">
        <v>5.33</v>
      </c>
      <c r="AU4">
        <v>5.01</v>
      </c>
      <c r="AV4">
        <v>94</v>
      </c>
      <c r="AW4">
        <v>1.89</v>
      </c>
      <c r="AX4">
        <v>1.75</v>
      </c>
      <c r="AY4">
        <v>92.9</v>
      </c>
      <c r="AZ4">
        <v>39.4</v>
      </c>
      <c r="BA4">
        <v>35</v>
      </c>
      <c r="BB4">
        <v>88.7</v>
      </c>
      <c r="BC4">
        <v>1.69</v>
      </c>
      <c r="BD4">
        <v>2.63</v>
      </c>
      <c r="BE4">
        <v>155.4</v>
      </c>
      <c r="BF4">
        <v>19.2</v>
      </c>
      <c r="BG4">
        <v>19.8</v>
      </c>
      <c r="BH4">
        <v>102.8</v>
      </c>
      <c r="BI4">
        <v>19.8</v>
      </c>
      <c r="BJ4">
        <v>102.8</v>
      </c>
      <c r="BK4">
        <v>0</v>
      </c>
      <c r="BL4">
        <v>5.2</v>
      </c>
      <c r="BM4">
        <v>4.25</v>
      </c>
      <c r="BN4">
        <v>81.8</v>
      </c>
    </row>
    <row r="5" spans="1:66">
      <c r="A5" s="2" t="s">
        <v>71</v>
      </c>
      <c r="B5">
        <v>63.479452054794521</v>
      </c>
      <c r="C5" t="s">
        <v>70</v>
      </c>
      <c r="D5" s="3">
        <v>27939</v>
      </c>
      <c r="E5">
        <v>158</v>
      </c>
      <c r="F5">
        <v>71.8</v>
      </c>
      <c r="G5" s="3">
        <v>44959</v>
      </c>
      <c r="H5">
        <v>3.3</v>
      </c>
      <c r="I5">
        <v>2.64</v>
      </c>
      <c r="J5">
        <v>79.900000000000006</v>
      </c>
      <c r="N5">
        <v>2.8</v>
      </c>
      <c r="O5">
        <v>1.44</v>
      </c>
      <c r="P5">
        <v>51.4</v>
      </c>
      <c r="T5">
        <v>82.1</v>
      </c>
      <c r="U5">
        <v>54.5</v>
      </c>
      <c r="V5">
        <v>66.400000000000006</v>
      </c>
      <c r="Z5">
        <v>3.74</v>
      </c>
      <c r="AA5">
        <v>0.64</v>
      </c>
      <c r="AB5">
        <v>17.2</v>
      </c>
      <c r="AF5">
        <v>1.3</v>
      </c>
      <c r="AG5">
        <v>0.23</v>
      </c>
      <c r="AH5">
        <v>17.399999999999999</v>
      </c>
      <c r="AL5">
        <v>2.81</v>
      </c>
      <c r="AM5">
        <v>0.54</v>
      </c>
      <c r="AN5">
        <v>19.399999999999999</v>
      </c>
      <c r="AO5">
        <v>2.67</v>
      </c>
      <c r="AP5">
        <v>80.8</v>
      </c>
      <c r="AQ5">
        <v>2.56</v>
      </c>
      <c r="AR5">
        <v>2.16</v>
      </c>
      <c r="AS5">
        <v>84.5</v>
      </c>
      <c r="AT5">
        <v>4.93</v>
      </c>
      <c r="AU5">
        <v>5.47</v>
      </c>
      <c r="AV5">
        <v>110.9</v>
      </c>
      <c r="AW5">
        <v>1.54</v>
      </c>
      <c r="AX5">
        <v>2.71</v>
      </c>
      <c r="AY5">
        <v>176.1</v>
      </c>
      <c r="AZ5">
        <v>34.6</v>
      </c>
      <c r="BA5">
        <v>49.5</v>
      </c>
      <c r="BB5">
        <v>142.80000000000001</v>
      </c>
      <c r="BC5">
        <v>1.38</v>
      </c>
      <c r="BD5">
        <v>2.94</v>
      </c>
      <c r="BE5">
        <v>212.9</v>
      </c>
      <c r="BF5">
        <v>21.1</v>
      </c>
      <c r="BG5">
        <v>26.7</v>
      </c>
      <c r="BH5">
        <v>126.7</v>
      </c>
      <c r="BI5">
        <v>26.7</v>
      </c>
      <c r="BJ5">
        <v>126.7</v>
      </c>
      <c r="BK5">
        <v>0</v>
      </c>
      <c r="BL5">
        <v>4.8099999999999996</v>
      </c>
      <c r="BM5">
        <v>4.32</v>
      </c>
      <c r="BN5">
        <v>89.7</v>
      </c>
    </row>
    <row r="6" spans="1:66">
      <c r="A6" s="2" t="s">
        <v>72</v>
      </c>
      <c r="B6">
        <v>68.673972602739724</v>
      </c>
      <c r="C6" t="s">
        <v>70</v>
      </c>
      <c r="D6" s="3">
        <v>34261</v>
      </c>
      <c r="E6">
        <v>172</v>
      </c>
      <c r="F6">
        <v>68.099999999999994</v>
      </c>
      <c r="G6" s="3">
        <v>44959</v>
      </c>
      <c r="H6">
        <v>4.4000000000000004</v>
      </c>
      <c r="I6">
        <v>3.59</v>
      </c>
      <c r="J6">
        <v>81.7</v>
      </c>
      <c r="N6">
        <v>3.74</v>
      </c>
      <c r="O6">
        <v>2.87</v>
      </c>
      <c r="P6">
        <v>76.8</v>
      </c>
      <c r="T6">
        <v>83.9</v>
      </c>
      <c r="U6">
        <v>79.900000000000006</v>
      </c>
      <c r="V6">
        <v>95.2</v>
      </c>
      <c r="Z6">
        <v>4.43</v>
      </c>
      <c r="AA6">
        <v>2.81</v>
      </c>
      <c r="AB6">
        <v>63.5</v>
      </c>
      <c r="AF6">
        <v>1.86</v>
      </c>
      <c r="AG6">
        <v>1.19</v>
      </c>
      <c r="AH6">
        <v>63.6</v>
      </c>
      <c r="AL6">
        <v>3.71</v>
      </c>
      <c r="AM6">
        <v>2.4900000000000002</v>
      </c>
      <c r="AN6">
        <v>67.2</v>
      </c>
      <c r="AO6">
        <v>3.09</v>
      </c>
      <c r="AP6">
        <v>70.2</v>
      </c>
      <c r="AQ6">
        <v>2.99</v>
      </c>
      <c r="AR6">
        <v>2.0499999999999998</v>
      </c>
      <c r="AS6">
        <v>68.599999999999994</v>
      </c>
      <c r="AT6">
        <v>6.04</v>
      </c>
      <c r="AU6">
        <v>5.44</v>
      </c>
      <c r="AV6">
        <v>89.9</v>
      </c>
      <c r="AW6">
        <v>1.56</v>
      </c>
      <c r="AX6">
        <v>1.85</v>
      </c>
      <c r="AY6">
        <v>118.2</v>
      </c>
      <c r="AZ6">
        <v>28.9</v>
      </c>
      <c r="BA6">
        <v>33.9</v>
      </c>
      <c r="BB6">
        <v>117.6</v>
      </c>
      <c r="BC6">
        <v>1.42</v>
      </c>
      <c r="BD6">
        <v>2.64</v>
      </c>
      <c r="BE6">
        <v>186.3</v>
      </c>
      <c r="BF6">
        <v>24.8</v>
      </c>
      <c r="BG6">
        <v>25.7</v>
      </c>
      <c r="BH6">
        <v>103.4</v>
      </c>
      <c r="BI6">
        <v>25.7</v>
      </c>
      <c r="BJ6">
        <v>103.4</v>
      </c>
      <c r="BK6">
        <v>0</v>
      </c>
      <c r="BL6">
        <v>5.9</v>
      </c>
      <c r="BM6">
        <v>4.9800000000000004</v>
      </c>
      <c r="BN6">
        <v>84.4</v>
      </c>
    </row>
    <row r="7" spans="1:66">
      <c r="A7" s="2" t="s">
        <v>73</v>
      </c>
      <c r="B7">
        <v>73.421917808219177</v>
      </c>
      <c r="C7" t="s">
        <v>67</v>
      </c>
      <c r="D7" s="3">
        <v>21298</v>
      </c>
      <c r="E7">
        <v>177</v>
      </c>
      <c r="F7">
        <v>83</v>
      </c>
      <c r="G7" s="3">
        <v>44963</v>
      </c>
      <c r="H7">
        <v>4.79</v>
      </c>
      <c r="I7">
        <v>3.62</v>
      </c>
      <c r="J7">
        <v>75.7</v>
      </c>
      <c r="N7">
        <v>3.57</v>
      </c>
      <c r="O7">
        <v>2.71</v>
      </c>
      <c r="P7">
        <v>76</v>
      </c>
      <c r="T7">
        <v>76</v>
      </c>
      <c r="U7">
        <v>74.8</v>
      </c>
      <c r="V7">
        <v>98.5</v>
      </c>
      <c r="Z7">
        <v>3.79</v>
      </c>
      <c r="AA7">
        <v>2.5299999999999998</v>
      </c>
      <c r="AB7">
        <v>66.900000000000006</v>
      </c>
      <c r="AF7">
        <v>1.1299999999999999</v>
      </c>
      <c r="AG7">
        <v>0.57999999999999996</v>
      </c>
      <c r="AH7">
        <v>51.8</v>
      </c>
      <c r="AL7">
        <v>2.74</v>
      </c>
      <c r="AM7">
        <v>1.81</v>
      </c>
      <c r="AN7">
        <v>66</v>
      </c>
      <c r="AO7">
        <v>3.76</v>
      </c>
      <c r="AP7">
        <v>78.599999999999994</v>
      </c>
      <c r="AQ7">
        <v>3.67</v>
      </c>
      <c r="AR7">
        <v>2.59</v>
      </c>
      <c r="AS7">
        <v>70.5</v>
      </c>
      <c r="AT7">
        <v>7.31</v>
      </c>
      <c r="AU7">
        <v>6.76</v>
      </c>
      <c r="AV7">
        <v>92.5</v>
      </c>
      <c r="AW7">
        <v>2.44</v>
      </c>
      <c r="AX7">
        <v>2.99</v>
      </c>
      <c r="AY7">
        <v>122.6</v>
      </c>
      <c r="AZ7">
        <v>39</v>
      </c>
      <c r="BA7">
        <v>44.2</v>
      </c>
      <c r="BB7">
        <v>113.5</v>
      </c>
      <c r="BC7">
        <v>1.3</v>
      </c>
      <c r="BD7">
        <v>2.02</v>
      </c>
      <c r="BE7">
        <v>154.9</v>
      </c>
      <c r="BF7">
        <v>23.7</v>
      </c>
      <c r="BG7">
        <v>20.5</v>
      </c>
      <c r="BH7">
        <v>86.5</v>
      </c>
      <c r="BI7">
        <v>20.5</v>
      </c>
      <c r="BJ7">
        <v>86.5</v>
      </c>
      <c r="BK7">
        <v>0</v>
      </c>
      <c r="BL7">
        <v>7.15</v>
      </c>
      <c r="BM7">
        <v>5.13</v>
      </c>
      <c r="BN7">
        <v>71.7</v>
      </c>
    </row>
    <row r="8" spans="1:66">
      <c r="A8" s="2" t="s">
        <v>74</v>
      </c>
      <c r="B8">
        <v>55.115068493150687</v>
      </c>
      <c r="C8" t="s">
        <v>70</v>
      </c>
      <c r="D8" s="3">
        <v>29994</v>
      </c>
      <c r="E8">
        <v>160</v>
      </c>
      <c r="F8">
        <v>81.5</v>
      </c>
      <c r="G8" s="3">
        <v>44966</v>
      </c>
      <c r="H8">
        <v>3.54</v>
      </c>
      <c r="I8">
        <v>2.16</v>
      </c>
      <c r="J8">
        <v>61.1</v>
      </c>
      <c r="N8">
        <v>3.02</v>
      </c>
      <c r="O8">
        <v>1.71</v>
      </c>
      <c r="P8">
        <v>56.6</v>
      </c>
      <c r="T8">
        <v>83</v>
      </c>
      <c r="U8">
        <v>79</v>
      </c>
      <c r="V8">
        <v>95.2</v>
      </c>
      <c r="Z8">
        <v>3.97</v>
      </c>
      <c r="AA8">
        <v>1.8</v>
      </c>
      <c r="AB8">
        <v>45.4</v>
      </c>
      <c r="AF8">
        <v>1.48</v>
      </c>
      <c r="AG8">
        <v>0.55000000000000004</v>
      </c>
      <c r="AH8">
        <v>36.9</v>
      </c>
      <c r="AL8">
        <v>3.07</v>
      </c>
      <c r="AM8">
        <v>1.5</v>
      </c>
      <c r="AN8">
        <v>48.9</v>
      </c>
      <c r="AO8">
        <v>2.33</v>
      </c>
      <c r="AP8">
        <v>65.599999999999994</v>
      </c>
      <c r="AQ8">
        <v>2.8</v>
      </c>
      <c r="AR8">
        <v>2.1</v>
      </c>
      <c r="AS8">
        <v>75.099999999999994</v>
      </c>
      <c r="AT8">
        <v>5.12</v>
      </c>
      <c r="AU8">
        <v>4.03</v>
      </c>
      <c r="AV8">
        <v>78.7</v>
      </c>
      <c r="AW8">
        <v>1.49</v>
      </c>
      <c r="AX8">
        <v>1.54</v>
      </c>
      <c r="AY8">
        <v>103.7</v>
      </c>
      <c r="AZ8">
        <v>32.6</v>
      </c>
      <c r="BA8">
        <v>38.299999999999997</v>
      </c>
      <c r="BB8">
        <v>117.4</v>
      </c>
      <c r="BC8">
        <v>1.77</v>
      </c>
      <c r="BD8">
        <v>1.76</v>
      </c>
      <c r="BE8">
        <v>99</v>
      </c>
      <c r="BF8">
        <v>19.600000000000001</v>
      </c>
      <c r="BG8">
        <v>14.7</v>
      </c>
      <c r="BH8">
        <v>75</v>
      </c>
      <c r="BI8">
        <v>14.7</v>
      </c>
      <c r="BJ8">
        <v>75</v>
      </c>
      <c r="BK8">
        <v>0</v>
      </c>
      <c r="BL8">
        <v>4.99</v>
      </c>
      <c r="BM8">
        <v>3.49</v>
      </c>
      <c r="BN8">
        <v>69.900000000000006</v>
      </c>
    </row>
    <row r="9" spans="1:66">
      <c r="A9" s="1" t="s">
        <v>75</v>
      </c>
      <c r="B9">
        <v>60.989041095890414</v>
      </c>
      <c r="C9" t="s">
        <v>70</v>
      </c>
      <c r="D9" s="3">
        <v>34937</v>
      </c>
      <c r="E9">
        <v>173</v>
      </c>
      <c r="F9">
        <v>100.5</v>
      </c>
      <c r="G9" s="3">
        <v>44978</v>
      </c>
      <c r="H9">
        <v>4.49</v>
      </c>
      <c r="I9">
        <v>3.08</v>
      </c>
      <c r="J9">
        <v>68.599999999999994</v>
      </c>
      <c r="N9">
        <v>3.82</v>
      </c>
      <c r="O9">
        <v>2.54</v>
      </c>
      <c r="P9">
        <v>66.5</v>
      </c>
      <c r="T9">
        <v>84.2</v>
      </c>
      <c r="U9">
        <v>82.6</v>
      </c>
      <c r="V9">
        <v>98</v>
      </c>
      <c r="Z9">
        <v>4.5199999999999996</v>
      </c>
      <c r="AA9">
        <v>3.27</v>
      </c>
      <c r="AB9">
        <v>72.3</v>
      </c>
      <c r="AF9">
        <v>1.94</v>
      </c>
      <c r="AG9">
        <v>1</v>
      </c>
      <c r="AH9">
        <v>51.7</v>
      </c>
      <c r="AL9">
        <v>3.8</v>
      </c>
      <c r="AM9">
        <v>2.66</v>
      </c>
      <c r="AN9">
        <v>70</v>
      </c>
      <c r="AO9">
        <v>3.14</v>
      </c>
      <c r="AP9">
        <v>69.900000000000006</v>
      </c>
      <c r="AQ9">
        <v>3.47</v>
      </c>
      <c r="AR9">
        <v>2.2999999999999998</v>
      </c>
      <c r="AS9">
        <v>66.5</v>
      </c>
      <c r="AT9">
        <v>6.13</v>
      </c>
      <c r="AU9">
        <v>4.55</v>
      </c>
      <c r="AV9">
        <v>74.2</v>
      </c>
      <c r="AW9">
        <v>1.55</v>
      </c>
      <c r="AX9">
        <v>1.28</v>
      </c>
      <c r="AY9">
        <v>82.6</v>
      </c>
      <c r="AZ9">
        <v>28.2</v>
      </c>
      <c r="BA9">
        <v>28.2</v>
      </c>
      <c r="BB9">
        <v>100</v>
      </c>
      <c r="BC9">
        <v>1.49</v>
      </c>
      <c r="BD9">
        <v>1.67</v>
      </c>
      <c r="BE9">
        <v>112</v>
      </c>
      <c r="BF9">
        <v>22.4</v>
      </c>
      <c r="BG9">
        <v>20.6</v>
      </c>
      <c r="BH9">
        <v>91.8</v>
      </c>
      <c r="BI9">
        <v>20.6</v>
      </c>
      <c r="BJ9">
        <v>91.8</v>
      </c>
      <c r="BK9">
        <v>0</v>
      </c>
      <c r="BL9">
        <v>5.99</v>
      </c>
      <c r="BM9">
        <v>3.96</v>
      </c>
      <c r="BN9">
        <v>66.099999999999994</v>
      </c>
    </row>
    <row r="10" spans="1:66">
      <c r="A10" s="2" t="s">
        <v>76</v>
      </c>
      <c r="B10">
        <v>64.657534246575338</v>
      </c>
      <c r="C10" t="s">
        <v>67</v>
      </c>
      <c r="D10" s="3">
        <v>27673</v>
      </c>
      <c r="E10">
        <v>186</v>
      </c>
      <c r="F10">
        <v>106</v>
      </c>
      <c r="G10" s="3">
        <v>44980</v>
      </c>
      <c r="H10">
        <v>5.81</v>
      </c>
      <c r="I10">
        <v>4.72</v>
      </c>
      <c r="J10">
        <v>81.3</v>
      </c>
      <c r="N10">
        <v>4.5</v>
      </c>
      <c r="O10">
        <v>3.37</v>
      </c>
      <c r="P10">
        <v>75</v>
      </c>
      <c r="T10">
        <v>78.5</v>
      </c>
      <c r="U10">
        <v>71.400000000000006</v>
      </c>
      <c r="V10">
        <v>91</v>
      </c>
      <c r="Z10">
        <v>4.57</v>
      </c>
      <c r="AA10">
        <v>3.06</v>
      </c>
      <c r="AB10">
        <v>67.099999999999994</v>
      </c>
      <c r="AF10">
        <v>1.58</v>
      </c>
      <c r="AG10">
        <v>0.83</v>
      </c>
      <c r="AH10">
        <v>52.8</v>
      </c>
      <c r="AL10">
        <v>3.93</v>
      </c>
      <c r="AM10">
        <v>2.34</v>
      </c>
      <c r="AN10">
        <v>59.5</v>
      </c>
      <c r="AO10">
        <v>4.3600000000000003</v>
      </c>
      <c r="AP10">
        <v>75.099999999999994</v>
      </c>
      <c r="AQ10">
        <v>4.41</v>
      </c>
      <c r="AR10">
        <v>3.37</v>
      </c>
      <c r="AS10">
        <v>76.400000000000006</v>
      </c>
      <c r="AT10">
        <v>8.1199999999999992</v>
      </c>
      <c r="AU10">
        <v>6.54</v>
      </c>
      <c r="AV10">
        <v>80.5</v>
      </c>
      <c r="AW10">
        <v>2.2599999999999998</v>
      </c>
      <c r="AX10">
        <v>1.82</v>
      </c>
      <c r="AY10">
        <v>80.3</v>
      </c>
      <c r="AZ10">
        <v>32.299999999999997</v>
      </c>
      <c r="BA10">
        <v>27.8</v>
      </c>
      <c r="BB10">
        <v>85.9</v>
      </c>
      <c r="BC10">
        <v>1.19</v>
      </c>
      <c r="BD10">
        <v>1.29</v>
      </c>
      <c r="BE10">
        <v>109</v>
      </c>
      <c r="BF10">
        <v>30.1</v>
      </c>
      <c r="BG10">
        <v>22.5</v>
      </c>
      <c r="BH10">
        <v>74.8</v>
      </c>
      <c r="BI10">
        <v>22.5</v>
      </c>
      <c r="BJ10">
        <v>74.8</v>
      </c>
      <c r="BK10">
        <v>0</v>
      </c>
      <c r="BL10">
        <v>7.95</v>
      </c>
      <c r="BM10">
        <v>5.99</v>
      </c>
      <c r="BN10">
        <v>75.3</v>
      </c>
    </row>
    <row r="11" spans="1:66">
      <c r="A11" s="1" t="s">
        <v>77</v>
      </c>
      <c r="B11">
        <v>38.410958904109592</v>
      </c>
      <c r="C11" t="s">
        <v>67</v>
      </c>
      <c r="D11" s="3">
        <v>22848</v>
      </c>
      <c r="E11">
        <v>172</v>
      </c>
      <c r="F11">
        <v>83.8</v>
      </c>
      <c r="G11" s="3">
        <v>44984</v>
      </c>
      <c r="H11">
        <v>4.55</v>
      </c>
      <c r="I11">
        <v>2.66</v>
      </c>
      <c r="J11">
        <v>58.5</v>
      </c>
      <c r="N11">
        <v>3.45</v>
      </c>
      <c r="O11">
        <v>2.2200000000000002</v>
      </c>
      <c r="P11">
        <v>64.3</v>
      </c>
      <c r="T11">
        <v>77.400000000000006</v>
      </c>
      <c r="U11">
        <v>83.4</v>
      </c>
      <c r="V11">
        <v>107.8</v>
      </c>
      <c r="Z11">
        <v>3.96</v>
      </c>
      <c r="AA11">
        <v>3.99</v>
      </c>
      <c r="AB11">
        <v>100.7</v>
      </c>
      <c r="AF11">
        <v>1.22</v>
      </c>
      <c r="AG11">
        <v>1</v>
      </c>
      <c r="AH11">
        <v>81.8</v>
      </c>
      <c r="AL11">
        <v>2.76</v>
      </c>
      <c r="AM11">
        <v>2.42</v>
      </c>
      <c r="AN11">
        <v>87.5</v>
      </c>
      <c r="AO11">
        <v>2.61</v>
      </c>
      <c r="AP11">
        <v>57.4</v>
      </c>
      <c r="AQ11">
        <v>3.6</v>
      </c>
      <c r="AR11">
        <v>1.99</v>
      </c>
      <c r="AS11">
        <v>55.4</v>
      </c>
      <c r="AT11">
        <v>6.86</v>
      </c>
      <c r="AU11">
        <v>4.16</v>
      </c>
      <c r="AV11">
        <v>60.7</v>
      </c>
      <c r="AW11">
        <v>2.2599999999999998</v>
      </c>
      <c r="AX11">
        <v>1.49</v>
      </c>
      <c r="AY11">
        <v>65.8</v>
      </c>
      <c r="AZ11">
        <v>37.4</v>
      </c>
      <c r="BA11">
        <v>35.700000000000003</v>
      </c>
      <c r="BB11">
        <v>95.4</v>
      </c>
      <c r="BC11">
        <v>1.52</v>
      </c>
      <c r="BD11">
        <v>1.27</v>
      </c>
      <c r="BE11">
        <v>83.9</v>
      </c>
      <c r="BF11">
        <v>19.8</v>
      </c>
      <c r="BG11">
        <v>9.4</v>
      </c>
      <c r="BH11">
        <v>47.2</v>
      </c>
      <c r="BI11">
        <v>9.4</v>
      </c>
      <c r="BJ11">
        <v>47.2</v>
      </c>
      <c r="BK11">
        <v>0</v>
      </c>
      <c r="BL11">
        <v>6.71</v>
      </c>
      <c r="BM11">
        <v>3.49</v>
      </c>
      <c r="BN11">
        <v>52</v>
      </c>
    </row>
    <row r="12" spans="1:66">
      <c r="A12" s="2" t="s">
        <v>78</v>
      </c>
      <c r="B12">
        <v>60.865753424657534</v>
      </c>
      <c r="C12" t="s">
        <v>67</v>
      </c>
      <c r="D12" s="3">
        <v>21050</v>
      </c>
      <c r="E12">
        <v>174</v>
      </c>
      <c r="F12">
        <v>73.8</v>
      </c>
      <c r="G12" s="3">
        <v>44987</v>
      </c>
      <c r="H12">
        <v>4.5599999999999996</v>
      </c>
      <c r="I12">
        <v>3.45</v>
      </c>
      <c r="J12">
        <v>75.599999999999994</v>
      </c>
      <c r="N12">
        <v>3.4</v>
      </c>
      <c r="O12">
        <v>2.69</v>
      </c>
      <c r="P12">
        <v>79.099999999999994</v>
      </c>
      <c r="T12">
        <v>76.099999999999994</v>
      </c>
      <c r="U12">
        <v>77.900000000000006</v>
      </c>
      <c r="V12">
        <v>102.4</v>
      </c>
      <c r="Z12">
        <v>3.75</v>
      </c>
      <c r="AA12">
        <v>2.86</v>
      </c>
      <c r="AB12">
        <v>76.3</v>
      </c>
      <c r="AF12">
        <v>1.1000000000000001</v>
      </c>
      <c r="AG12">
        <v>0.56999999999999995</v>
      </c>
      <c r="AH12">
        <v>51.3</v>
      </c>
      <c r="AL12">
        <v>2.59</v>
      </c>
      <c r="AM12">
        <v>2.33</v>
      </c>
      <c r="AN12">
        <v>90.1</v>
      </c>
      <c r="AO12">
        <v>2.93</v>
      </c>
      <c r="AP12">
        <v>64.2</v>
      </c>
      <c r="AQ12">
        <v>3.4</v>
      </c>
      <c r="AR12">
        <v>2.11</v>
      </c>
      <c r="AS12">
        <v>62.2</v>
      </c>
      <c r="AT12">
        <v>7.04</v>
      </c>
      <c r="AU12">
        <v>4.99</v>
      </c>
      <c r="AV12">
        <v>70.900000000000006</v>
      </c>
      <c r="AW12">
        <v>2.4</v>
      </c>
      <c r="AX12">
        <v>1.31</v>
      </c>
      <c r="AY12">
        <v>54.5</v>
      </c>
      <c r="AZ12">
        <v>39.299999999999997</v>
      </c>
      <c r="BA12">
        <v>26.2</v>
      </c>
      <c r="BB12">
        <v>66.7</v>
      </c>
      <c r="BC12">
        <v>1.68</v>
      </c>
      <c r="BD12">
        <v>1.4</v>
      </c>
      <c r="BE12">
        <v>83.2</v>
      </c>
      <c r="BF12">
        <v>21.9</v>
      </c>
      <c r="BG12">
        <v>17.399999999999999</v>
      </c>
      <c r="BH12">
        <v>79.7</v>
      </c>
      <c r="BI12">
        <v>17.399999999999999</v>
      </c>
      <c r="BJ12">
        <v>79.7</v>
      </c>
      <c r="BK12">
        <v>0</v>
      </c>
      <c r="BL12">
        <v>6.89</v>
      </c>
      <c r="BM12">
        <v>4.5599999999999996</v>
      </c>
      <c r="BN12">
        <v>66.3</v>
      </c>
    </row>
    <row r="13" spans="1:66">
      <c r="A13" s="1" t="s">
        <v>79</v>
      </c>
      <c r="B13">
        <v>70.731506849315068</v>
      </c>
      <c r="C13" t="s">
        <v>70</v>
      </c>
      <c r="D13" s="3">
        <v>21086</v>
      </c>
      <c r="E13">
        <v>167</v>
      </c>
      <c r="F13">
        <v>87.7</v>
      </c>
      <c r="G13" s="3">
        <v>44987</v>
      </c>
      <c r="H13">
        <v>3.29</v>
      </c>
      <c r="I13">
        <v>3.01</v>
      </c>
      <c r="J13">
        <v>91.6</v>
      </c>
      <c r="N13">
        <v>2.65</v>
      </c>
      <c r="O13">
        <v>2.16</v>
      </c>
      <c r="P13">
        <v>81.3</v>
      </c>
      <c r="T13">
        <v>77.8</v>
      </c>
      <c r="U13">
        <v>71.7</v>
      </c>
      <c r="V13">
        <v>92.1</v>
      </c>
      <c r="Z13">
        <v>3.09</v>
      </c>
      <c r="AA13">
        <v>2.2200000000000002</v>
      </c>
      <c r="AB13">
        <v>71.8</v>
      </c>
      <c r="AF13">
        <v>0.88</v>
      </c>
      <c r="AG13">
        <v>0.48</v>
      </c>
      <c r="AH13">
        <v>55.2</v>
      </c>
      <c r="AL13">
        <v>2.23</v>
      </c>
      <c r="AM13">
        <v>1.58</v>
      </c>
      <c r="AN13">
        <v>70.7</v>
      </c>
      <c r="AO13">
        <v>2.9</v>
      </c>
      <c r="AP13">
        <v>88.2</v>
      </c>
      <c r="AQ13">
        <v>2.82</v>
      </c>
      <c r="AR13">
        <v>1.73</v>
      </c>
      <c r="AS13">
        <v>61.2</v>
      </c>
      <c r="AT13">
        <v>5.44</v>
      </c>
      <c r="AU13">
        <v>4.78</v>
      </c>
      <c r="AV13">
        <v>87.9</v>
      </c>
      <c r="AW13">
        <v>2</v>
      </c>
      <c r="AX13">
        <v>1.83</v>
      </c>
      <c r="AY13">
        <v>91.3</v>
      </c>
      <c r="AZ13">
        <v>41.1</v>
      </c>
      <c r="BA13">
        <v>38.200000000000003</v>
      </c>
      <c r="BB13">
        <v>93</v>
      </c>
      <c r="BC13">
        <v>1.6</v>
      </c>
      <c r="BD13">
        <v>2.34</v>
      </c>
      <c r="BE13">
        <v>145.80000000000001</v>
      </c>
      <c r="BF13">
        <v>17.7</v>
      </c>
      <c r="BG13">
        <v>15.9</v>
      </c>
      <c r="BH13">
        <v>90.1</v>
      </c>
      <c r="BI13">
        <v>15.9</v>
      </c>
      <c r="BJ13">
        <v>90.1</v>
      </c>
      <c r="BK13">
        <v>0</v>
      </c>
      <c r="BL13">
        <v>5.3</v>
      </c>
      <c r="BM13">
        <v>3.84</v>
      </c>
      <c r="BN13">
        <v>72.400000000000006</v>
      </c>
    </row>
    <row r="14" spans="1:66">
      <c r="A14" s="1" t="s">
        <v>80</v>
      </c>
      <c r="B14">
        <v>62.860273972602741</v>
      </c>
      <c r="C14" t="s">
        <v>70</v>
      </c>
      <c r="D14" s="3">
        <v>18732</v>
      </c>
      <c r="E14">
        <v>158</v>
      </c>
      <c r="F14">
        <v>77.2</v>
      </c>
      <c r="G14" s="3">
        <v>44992</v>
      </c>
      <c r="H14">
        <v>2.7</v>
      </c>
      <c r="I14">
        <v>2.5099999999999998</v>
      </c>
      <c r="J14">
        <v>93</v>
      </c>
      <c r="N14">
        <v>2.17</v>
      </c>
      <c r="O14">
        <v>2.08</v>
      </c>
      <c r="P14">
        <v>95.8</v>
      </c>
      <c r="T14">
        <v>77.5</v>
      </c>
      <c r="U14">
        <v>82.7</v>
      </c>
      <c r="V14">
        <v>106.7</v>
      </c>
      <c r="Z14">
        <v>2.91</v>
      </c>
      <c r="AA14">
        <v>4.34</v>
      </c>
      <c r="AB14">
        <v>149.30000000000001</v>
      </c>
      <c r="AF14">
        <v>0.77</v>
      </c>
      <c r="AG14">
        <v>1.08</v>
      </c>
      <c r="AH14">
        <v>140.6</v>
      </c>
      <c r="AL14">
        <v>1.75</v>
      </c>
      <c r="AM14">
        <v>2.72</v>
      </c>
      <c r="AN14">
        <v>155.5</v>
      </c>
      <c r="AO14">
        <v>2.5299999999999998</v>
      </c>
      <c r="AP14">
        <v>93.6</v>
      </c>
      <c r="AQ14">
        <v>2.41</v>
      </c>
      <c r="AR14">
        <v>1.92</v>
      </c>
      <c r="AS14">
        <v>80</v>
      </c>
      <c r="AT14">
        <v>4.76</v>
      </c>
      <c r="AU14">
        <v>4.0599999999999996</v>
      </c>
      <c r="AV14">
        <v>85.3</v>
      </c>
      <c r="AW14">
        <v>1.91</v>
      </c>
      <c r="AX14">
        <v>1.49</v>
      </c>
      <c r="AY14">
        <v>78</v>
      </c>
      <c r="AZ14">
        <v>43.1</v>
      </c>
      <c r="BA14">
        <v>36.700000000000003</v>
      </c>
      <c r="BB14">
        <v>85.2</v>
      </c>
      <c r="BC14">
        <v>1.81</v>
      </c>
      <c r="BD14">
        <v>2.5299999999999998</v>
      </c>
      <c r="BE14">
        <v>139.80000000000001</v>
      </c>
      <c r="BF14">
        <v>15.6</v>
      </c>
      <c r="BG14">
        <v>15.3</v>
      </c>
      <c r="BH14">
        <v>98</v>
      </c>
      <c r="BI14">
        <v>15.3</v>
      </c>
      <c r="BJ14">
        <v>98</v>
      </c>
      <c r="BK14">
        <v>0</v>
      </c>
      <c r="BL14">
        <v>4.63</v>
      </c>
      <c r="BM14">
        <v>3.32</v>
      </c>
      <c r="BN14">
        <v>71.7</v>
      </c>
    </row>
    <row r="15" spans="1:66">
      <c r="A15" s="2" t="s">
        <v>81</v>
      </c>
      <c r="B15">
        <f>(G15-D15)/365</f>
        <v>49.079452054794523</v>
      </c>
      <c r="C15" t="s">
        <v>67</v>
      </c>
      <c r="D15" s="3">
        <v>27080</v>
      </c>
      <c r="E15">
        <v>180</v>
      </c>
      <c r="F15">
        <v>90.9</v>
      </c>
      <c r="G15" s="3">
        <v>44994</v>
      </c>
      <c r="H15">
        <v>5.36</v>
      </c>
      <c r="I15">
        <v>4.28</v>
      </c>
      <c r="J15">
        <v>79.7</v>
      </c>
      <c r="N15">
        <v>4.16</v>
      </c>
      <c r="O15">
        <v>3.25</v>
      </c>
      <c r="P15">
        <v>78.099999999999994</v>
      </c>
      <c r="T15">
        <v>78.8</v>
      </c>
      <c r="U15">
        <v>75.900000000000006</v>
      </c>
      <c r="V15">
        <v>96.4</v>
      </c>
      <c r="Z15">
        <v>4.47</v>
      </c>
      <c r="AA15">
        <v>3.81</v>
      </c>
      <c r="AB15">
        <v>85.4</v>
      </c>
      <c r="AF15">
        <v>1.52</v>
      </c>
      <c r="AG15">
        <v>0.71</v>
      </c>
      <c r="AH15">
        <v>46.4</v>
      </c>
      <c r="AL15">
        <v>3.6</v>
      </c>
      <c r="AM15">
        <v>2.6</v>
      </c>
      <c r="AN15">
        <v>72.099999999999994</v>
      </c>
      <c r="AO15">
        <v>4.4400000000000004</v>
      </c>
      <c r="AP15">
        <v>82.8</v>
      </c>
      <c r="AQ15">
        <v>4.01</v>
      </c>
      <c r="AR15">
        <v>3.07</v>
      </c>
      <c r="AS15">
        <v>76.5</v>
      </c>
      <c r="AT15">
        <v>7.58</v>
      </c>
      <c r="AU15">
        <v>6.2</v>
      </c>
      <c r="AV15">
        <v>81.8</v>
      </c>
      <c r="AW15">
        <v>2.19</v>
      </c>
      <c r="AX15">
        <v>1.68</v>
      </c>
      <c r="AY15">
        <v>76.7</v>
      </c>
      <c r="AZ15">
        <v>33.1</v>
      </c>
      <c r="BA15">
        <v>27</v>
      </c>
      <c r="BB15">
        <v>81.7</v>
      </c>
      <c r="BC15">
        <v>1.33</v>
      </c>
      <c r="BD15">
        <v>1.24</v>
      </c>
      <c r="BE15">
        <v>93.3</v>
      </c>
      <c r="BF15">
        <v>28.3</v>
      </c>
      <c r="BG15">
        <v>19.3</v>
      </c>
      <c r="BH15">
        <v>68.5</v>
      </c>
      <c r="BI15">
        <v>19.3</v>
      </c>
      <c r="BJ15">
        <v>68.5</v>
      </c>
      <c r="BK15">
        <v>0</v>
      </c>
      <c r="BL15">
        <v>7.42</v>
      </c>
      <c r="BM15">
        <v>5.5</v>
      </c>
      <c r="BN15">
        <v>74.099999999999994</v>
      </c>
    </row>
    <row r="16" spans="1:66">
      <c r="A16" s="2" t="s">
        <v>82</v>
      </c>
      <c r="B16">
        <f t="shared" ref="B16:B19" si="0">(G16-D16)/365</f>
        <v>68.531506849315065</v>
      </c>
      <c r="C16" t="s">
        <v>67</v>
      </c>
      <c r="D16" s="3">
        <v>19981</v>
      </c>
      <c r="E16">
        <v>182</v>
      </c>
      <c r="F16">
        <v>95.3</v>
      </c>
      <c r="G16" s="3">
        <v>44995</v>
      </c>
      <c r="H16">
        <v>5.0199999999999996</v>
      </c>
      <c r="I16">
        <v>4.96</v>
      </c>
      <c r="J16">
        <v>98.8</v>
      </c>
      <c r="N16">
        <v>3.68</v>
      </c>
      <c r="O16">
        <v>3.63</v>
      </c>
      <c r="P16">
        <v>98.7</v>
      </c>
      <c r="T16">
        <v>74.599999999999994</v>
      </c>
      <c r="U16">
        <v>73.2</v>
      </c>
      <c r="V16">
        <v>98.2</v>
      </c>
      <c r="Z16">
        <v>3.63</v>
      </c>
      <c r="AA16">
        <v>3.76</v>
      </c>
      <c r="AB16">
        <v>103.8</v>
      </c>
      <c r="AF16">
        <v>1.04</v>
      </c>
      <c r="AG16">
        <v>0.88</v>
      </c>
      <c r="AH16">
        <v>84.8</v>
      </c>
      <c r="AL16">
        <v>2.73</v>
      </c>
      <c r="AM16">
        <v>2.5299999999999998</v>
      </c>
      <c r="AN16">
        <v>92.7</v>
      </c>
      <c r="AO16">
        <v>5.61</v>
      </c>
      <c r="AP16">
        <v>111.8</v>
      </c>
      <c r="AQ16">
        <v>3.97</v>
      </c>
      <c r="AR16">
        <v>4.1399999999999997</v>
      </c>
      <c r="AS16">
        <v>104.3</v>
      </c>
      <c r="AT16">
        <v>7.76</v>
      </c>
      <c r="AU16">
        <v>8.75</v>
      </c>
      <c r="AV16">
        <v>112.7</v>
      </c>
      <c r="AW16">
        <v>2.62</v>
      </c>
      <c r="AX16">
        <v>3.08</v>
      </c>
      <c r="AY16">
        <v>117.3</v>
      </c>
      <c r="AZ16">
        <v>40.5</v>
      </c>
      <c r="BA16">
        <v>35.200000000000003</v>
      </c>
      <c r="BB16">
        <v>86.9</v>
      </c>
      <c r="BC16">
        <v>1.03</v>
      </c>
      <c r="BD16">
        <v>1.19</v>
      </c>
      <c r="BE16">
        <v>115.9</v>
      </c>
      <c r="BF16">
        <v>30.3</v>
      </c>
      <c r="BG16">
        <v>28.1</v>
      </c>
      <c r="BH16">
        <v>92.7</v>
      </c>
      <c r="BI16">
        <v>28.1</v>
      </c>
      <c r="BJ16">
        <v>92.7</v>
      </c>
      <c r="BK16">
        <v>0</v>
      </c>
      <c r="BL16">
        <v>7.6</v>
      </c>
      <c r="BM16">
        <v>7.7</v>
      </c>
      <c r="BN16">
        <v>101.4</v>
      </c>
    </row>
    <row r="17" spans="1:66">
      <c r="A17" s="2" t="s">
        <v>83</v>
      </c>
      <c r="B17">
        <f t="shared" si="0"/>
        <v>54.090410958904108</v>
      </c>
      <c r="C17" t="s">
        <v>70</v>
      </c>
      <c r="D17" s="3">
        <v>25255</v>
      </c>
      <c r="E17">
        <v>162</v>
      </c>
      <c r="F17">
        <v>70.900000000000006</v>
      </c>
      <c r="G17" s="3">
        <v>44998</v>
      </c>
      <c r="H17">
        <v>3.31</v>
      </c>
      <c r="I17">
        <v>3.2</v>
      </c>
      <c r="J17">
        <v>96.9</v>
      </c>
      <c r="N17">
        <v>2.74</v>
      </c>
      <c r="O17">
        <v>2.5499999999999998</v>
      </c>
      <c r="P17">
        <v>93.1</v>
      </c>
      <c r="T17">
        <v>80.3</v>
      </c>
      <c r="U17">
        <v>79.7</v>
      </c>
      <c r="V17">
        <v>99.3</v>
      </c>
      <c r="Z17">
        <v>3.45</v>
      </c>
      <c r="AA17">
        <v>3.61</v>
      </c>
      <c r="AB17">
        <v>104.6</v>
      </c>
      <c r="AF17">
        <v>1.1000000000000001</v>
      </c>
      <c r="AG17">
        <v>0.77</v>
      </c>
      <c r="AH17">
        <v>70.2</v>
      </c>
      <c r="AL17">
        <v>2.59</v>
      </c>
      <c r="AM17">
        <v>2.63</v>
      </c>
      <c r="AN17">
        <v>101.5</v>
      </c>
      <c r="AO17">
        <v>3.2</v>
      </c>
      <c r="AP17">
        <v>96.6</v>
      </c>
      <c r="AQ17">
        <v>2.57</v>
      </c>
      <c r="AR17">
        <v>2.08</v>
      </c>
      <c r="AS17">
        <v>81</v>
      </c>
      <c r="AT17">
        <v>5.16</v>
      </c>
      <c r="AU17">
        <v>4.78</v>
      </c>
      <c r="AV17">
        <v>92.6</v>
      </c>
      <c r="AW17">
        <v>1.74</v>
      </c>
      <c r="AX17">
        <v>1.52</v>
      </c>
      <c r="AY17">
        <v>87.5</v>
      </c>
      <c r="AZ17">
        <v>37.4</v>
      </c>
      <c r="BA17">
        <v>31.8</v>
      </c>
      <c r="BB17">
        <v>85.1</v>
      </c>
      <c r="BC17">
        <v>1.62</v>
      </c>
      <c r="BD17">
        <v>2.0699999999999998</v>
      </c>
      <c r="BE17">
        <v>127.3</v>
      </c>
      <c r="BF17">
        <v>20.3</v>
      </c>
      <c r="BG17">
        <v>16.2</v>
      </c>
      <c r="BH17">
        <v>80.2</v>
      </c>
      <c r="BI17">
        <v>16.2</v>
      </c>
      <c r="BJ17">
        <v>80.2</v>
      </c>
      <c r="BK17">
        <v>0</v>
      </c>
      <c r="BL17">
        <v>5.03</v>
      </c>
      <c r="BM17">
        <v>4.33</v>
      </c>
      <c r="BN17">
        <v>86.1</v>
      </c>
    </row>
    <row r="18" spans="1:66">
      <c r="A18" s="2" t="s">
        <v>84</v>
      </c>
      <c r="B18">
        <f t="shared" si="0"/>
        <v>73.939726027397256</v>
      </c>
      <c r="C18" t="s">
        <v>67</v>
      </c>
      <c r="D18" s="3">
        <v>18018</v>
      </c>
      <c r="E18">
        <v>176</v>
      </c>
      <c r="F18">
        <v>76</v>
      </c>
      <c r="G18" s="3">
        <v>45006</v>
      </c>
      <c r="H18">
        <v>4.49</v>
      </c>
      <c r="I18">
        <v>3.29</v>
      </c>
      <c r="J18">
        <v>73.2</v>
      </c>
      <c r="N18">
        <v>3.25</v>
      </c>
      <c r="O18">
        <v>2.6</v>
      </c>
      <c r="P18">
        <v>80</v>
      </c>
      <c r="T18">
        <v>74.2</v>
      </c>
      <c r="U18">
        <v>79.099999999999994</v>
      </c>
      <c r="V18">
        <v>106.7</v>
      </c>
      <c r="Z18">
        <v>3.43</v>
      </c>
      <c r="AA18">
        <v>3.69</v>
      </c>
      <c r="AB18">
        <v>107.6</v>
      </c>
      <c r="AF18">
        <v>0.94</v>
      </c>
      <c r="AG18">
        <v>0.62</v>
      </c>
      <c r="AH18">
        <v>65.7</v>
      </c>
      <c r="AL18">
        <v>2.2599999999999998</v>
      </c>
      <c r="AM18">
        <v>2.35</v>
      </c>
      <c r="AN18">
        <v>104</v>
      </c>
      <c r="AO18">
        <v>3.46</v>
      </c>
      <c r="AP18">
        <v>77</v>
      </c>
      <c r="AQ18">
        <v>3.43</v>
      </c>
      <c r="AR18">
        <v>2.4900000000000002</v>
      </c>
      <c r="AS18">
        <v>72.7</v>
      </c>
      <c r="AT18">
        <v>7.22</v>
      </c>
      <c r="AU18">
        <v>5.57</v>
      </c>
      <c r="AV18">
        <v>77.099999999999994</v>
      </c>
      <c r="AW18">
        <v>2.61</v>
      </c>
      <c r="AX18">
        <v>2.08</v>
      </c>
      <c r="AY18">
        <v>79.7</v>
      </c>
      <c r="AZ18">
        <v>42.5</v>
      </c>
      <c r="BA18">
        <v>37.299999999999997</v>
      </c>
      <c r="BB18">
        <v>87.9</v>
      </c>
      <c r="BC18">
        <v>1.59</v>
      </c>
      <c r="BD18">
        <v>1.2</v>
      </c>
      <c r="BE18">
        <v>75.3</v>
      </c>
      <c r="BF18">
        <v>21.2</v>
      </c>
      <c r="BG18">
        <v>16.3</v>
      </c>
      <c r="BH18">
        <v>76.7</v>
      </c>
      <c r="BI18">
        <v>16.3</v>
      </c>
      <c r="BJ18">
        <v>76.7</v>
      </c>
      <c r="BK18">
        <v>0</v>
      </c>
      <c r="BL18">
        <v>7.07</v>
      </c>
      <c r="BM18">
        <v>4.97</v>
      </c>
      <c r="BN18">
        <v>70.400000000000006</v>
      </c>
    </row>
    <row r="19" spans="1:66">
      <c r="A19" s="2" t="s">
        <v>85</v>
      </c>
      <c r="B19">
        <f t="shared" si="0"/>
        <v>62.506849315068493</v>
      </c>
      <c r="C19" t="s">
        <v>67</v>
      </c>
      <c r="D19" s="3">
        <v>22205</v>
      </c>
      <c r="E19">
        <v>178</v>
      </c>
      <c r="F19">
        <v>86.2</v>
      </c>
      <c r="G19" s="3">
        <v>45020</v>
      </c>
      <c r="H19">
        <v>4.9000000000000004</v>
      </c>
      <c r="I19">
        <v>5.32</v>
      </c>
      <c r="J19">
        <v>108.6</v>
      </c>
      <c r="N19">
        <v>3.67</v>
      </c>
      <c r="O19">
        <v>3.57</v>
      </c>
      <c r="P19">
        <v>97</v>
      </c>
      <c r="T19">
        <v>76.3</v>
      </c>
      <c r="U19">
        <v>67</v>
      </c>
      <c r="V19">
        <v>87.8</v>
      </c>
      <c r="Z19">
        <v>3.87</v>
      </c>
      <c r="AA19">
        <v>2.8</v>
      </c>
      <c r="AB19">
        <v>72.400000000000006</v>
      </c>
      <c r="AF19">
        <v>1.17</v>
      </c>
      <c r="AG19">
        <v>0.77</v>
      </c>
      <c r="AH19">
        <v>65.599999999999994</v>
      </c>
      <c r="AL19">
        <v>2.88</v>
      </c>
      <c r="AM19">
        <v>2.2400000000000002</v>
      </c>
      <c r="AN19">
        <v>77.599999999999994</v>
      </c>
      <c r="AO19">
        <v>5.46</v>
      </c>
      <c r="AP19">
        <v>111.4</v>
      </c>
      <c r="AQ19">
        <v>3.77</v>
      </c>
      <c r="AR19">
        <v>4.01</v>
      </c>
      <c r="AS19">
        <v>106.5</v>
      </c>
      <c r="AT19">
        <v>7.4</v>
      </c>
      <c r="AU19">
        <v>7.94</v>
      </c>
      <c r="AV19">
        <v>107.3</v>
      </c>
      <c r="AW19">
        <v>2.42</v>
      </c>
      <c r="AX19">
        <v>2.46</v>
      </c>
      <c r="AY19">
        <v>101.6</v>
      </c>
      <c r="AZ19">
        <v>38.200000000000003</v>
      </c>
      <c r="BA19">
        <v>31</v>
      </c>
      <c r="BB19">
        <v>81.099999999999994</v>
      </c>
      <c r="BC19">
        <v>1.1100000000000001</v>
      </c>
      <c r="BD19">
        <v>1.84</v>
      </c>
      <c r="BE19">
        <v>165.1</v>
      </c>
      <c r="BF19">
        <v>29.6</v>
      </c>
      <c r="BG19">
        <v>19.100000000000001</v>
      </c>
      <c r="BH19">
        <v>64.400000000000006</v>
      </c>
      <c r="BI19">
        <v>19.100000000000001</v>
      </c>
      <c r="BJ19">
        <v>64.400000000000006</v>
      </c>
      <c r="BK19">
        <v>0</v>
      </c>
      <c r="BL19">
        <v>7.24</v>
      </c>
      <c r="BM19">
        <v>6.99</v>
      </c>
      <c r="BN19">
        <v>96.5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E46505-9850-4774-8BF2-10D48CEC7162}"/>
</file>

<file path=customXml/itemProps2.xml><?xml version="1.0" encoding="utf-8"?>
<ds:datastoreItem xmlns:ds="http://schemas.openxmlformats.org/officeDocument/2006/customXml" ds:itemID="{A5B01B51-8383-40D0-B045-7016F7128C86}"/>
</file>

<file path=customXml/itemProps3.xml><?xml version="1.0" encoding="utf-8"?>
<ds:datastoreItem xmlns:ds="http://schemas.openxmlformats.org/officeDocument/2006/customXml" ds:itemID="{AF413946-DF96-4801-838E-3AEFB8174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Honami Ota</dc:creator>
  <cp:keywords/>
  <dc:description/>
  <cp:lastModifiedBy>Fu, Anne</cp:lastModifiedBy>
  <cp:revision/>
  <dcterms:created xsi:type="dcterms:W3CDTF">2023-04-28T16:51:05Z</dcterms:created>
  <dcterms:modified xsi:type="dcterms:W3CDTF">2025-08-13T17:01:12Z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